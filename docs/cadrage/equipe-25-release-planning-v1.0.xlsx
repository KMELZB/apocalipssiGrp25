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tabRatio="500" activeTab="2"/>
  </bookViews>
  <sheets>
    <sheet name="Garde" sheetId="1" r:id="rId1"/>
    <sheet name="Identification" sheetId="2" r:id="rId2"/>
    <sheet name="Release Planning" sheetId="3" r:id="rId3"/>
    <sheet name="Burnup global" sheetId="4" r:id="rId4"/>
    <sheet name="Auto-évalua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<sst xmlns="http://schemas.openxmlformats.org/spreadsheetml/2006/main" count="196" uniqueCount="156">
  <si>
    <t>A</t>
  </si>
  <si>
    <t>APOCAL'IPSSI</t>
  </si>
  <si>
    <t>CADRAGE MATINAL · ARTEFACT 5 SUR 7</t>
  </si>
  <si>
    <t>Release Planning</t>
  </si>
  <si>
    <t>Planning des 7 sprints demi-journée et des 2 releases d'EduTutor IA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</si>
  <si>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</si>
  <si>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</si>
  <si>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</si>
  <si>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</si>
  <si>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</si>
  <si>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25</t>
  </si>
  <si>
    <t>Membres</t>
  </si>
  <si>
    <t>Mazen RADI, Yoni DESERBAIX, Melvyn BLANCHI, Rizlène BERRAG, Anass HOUDZI, Tahina HONI RIKA</t>
  </si>
  <si>
    <t>Sprint concerné</t>
  </si>
  <si>
    <t>Cadrage</t>
  </si>
  <si>
    <t>Version</t>
  </si>
  <si>
    <t>v1.0</t>
  </si>
  <si>
    <t>Date de remise</t>
  </si>
  <si>
    <t>29/06/2026 13h00</t>
  </si>
  <si>
    <t>Statut</t>
  </si>
  <si>
    <t>Draft</t>
  </si>
  <si>
    <t>💡 Convention de nommage du fichier :</t>
  </si>
  <si>
    <t xml:space="preserve">equipe-25-release-planning-v1.0.xlsx </t>
  </si>
  <si>
    <t>RELEASE PLANNING : SEMAINE APOCAL'IPSSI 2026</t>
  </si>
  <si>
    <t>7 sprints × demi-journée + cadrage matinal + soutenance vendredi</t>
  </si>
  <si>
    <t>💡 OBJECTIF</t>
  </si>
  <si>
    <t>Vue d'ensemble de la semaine : objectif et stories engagées par sprint, capacité réaliste, vélocité cible.</t>
  </si>
  <si>
    <t>📐 FORMAT</t>
  </si>
  <si>
    <t>9 lignes (Cadrage + 7 sprints + Soutenance) × 8 colonnes. Tag US-XX en colonne stories pour traçabilité Product Backlog.</t>
  </si>
  <si>
    <t>✅ BON</t>
  </si>
  <si>
    <t>« Sprint 1 : Objectif = setup MVP F1 + F2 · Capacité 28 h-pers · Vélocité 10 SP · Stories US-01, US-02 »</t>
  </si>
  <si>
    <t>❌ À ÉVITER</t>
  </si>
  <si>
    <t>« Sprint 1 : faire du progrès » (ni mesurable, ni vérifiable en revue de sprint)</t>
  </si>
  <si>
    <t>Sprint</t>
  </si>
  <si>
    <t>Jour</t>
  </si>
  <si>
    <t>Horaires</t>
  </si>
  <si>
    <t>Capacité (h-pers)</t>
  </si>
  <si>
    <t>Vélocité cible (SP)</t>
  </si>
  <si>
    <t>Objectif sprint</t>
  </si>
  <si>
    <t>Stories engagées</t>
  </si>
  <si>
    <t>Release / Jalon</t>
  </si>
  <si>
    <t>Lundi matin</t>
  </si>
  <si>
    <t>9h00 – 13h30</t>
  </si>
  <si>
    <t>n.c.</t>
  </si>
  <si>
    <t>Produire les 7 artefacts agiles (Vision, Personas, Customer Journey, Story Map, Release Planning, Product Backlog, Sprint Backlog)</t>
  </si>
  <si>
    <t>📋 Validation PO 14h00</t>
  </si>
  <si>
    <t>Sprint 1</t>
  </si>
  <si>
    <t>Lundi PM</t>
  </si>
  <si>
    <t>14h00 – 18h00</t>
  </si>
  <si>
    <t>10</t>
  </si>
  <si>
    <t>Setup technique + démarrage MVP (F1 inscription, F2 upload cours)</t>
  </si>
  <si>
    <t>US-01, US-02</t>
  </si>
  <si>
    <t>🟦 Sprint Review 18h</t>
  </si>
  <si>
    <t>Sprint 2</t>
  </si>
  <si>
    <t>Mardi matin</t>
  </si>
  <si>
    <t>9h00 – 12h30</t>
  </si>
  <si>
    <t>8-10</t>
  </si>
  <si>
    <t>Génération quiz F3 (Llama 3.1 8B via Ollama), perturbation J2 (latence)</t>
  </si>
  <si>
    <t>US-03</t>
  </si>
  <si>
    <t>⚡ Perturbation J2 à 10h</t>
  </si>
  <si>
    <t>Sprint 3</t>
  </si>
  <si>
    <t>Mardi PM</t>
  </si>
  <si>
    <t>Correction + scoring F4/F5 + intégration ADR-J2</t>
  </si>
  <si>
    <t>US-04, US-05</t>
  </si>
  <si>
    <t>Sprint 4</t>
  </si>
  <si>
    <t>Mercredi matin</t>
  </si>
  <si>
    <t>Historique F6 + sécurisation prompt injection (perturbation J3)</t>
  </si>
  <si>
    <t>US-06 + patch sécurité</t>
  </si>
  <si>
    <t>⚡ Perturbation J3 à 10h</t>
  </si>
  <si>
    <t>Sprint 5</t>
  </si>
  <si>
    <t>Mercredi PM</t>
  </si>
  <si>
    <t>Conformité RGPD SAR (J3-bis) + finalisation MVP F1-F6</t>
  </si>
  <si>
    <t>Export RGPD + correctifs</t>
  </si>
  <si>
    <t>⚡ J3-bis 14h · 🚀 Release 1 (MVP) 17h45</t>
  </si>
  <si>
    <t>Sprint 6</t>
  </si>
  <si>
    <t>Jeudi matin</t>
  </si>
  <si>
    <t>8</t>
  </si>
  <si>
    <t>Stories Release 2 (2-3 pistes choisies), crise utilisateur J4</t>
  </si>
  <si>
    <t>[US-XX selon Release 2 retenue]</t>
  </si>
  <si>
    <t>⚡ Perturbation J4 à 10h</t>
  </si>
  <si>
    <t>Sprint 7</t>
  </si>
  <si>
    <t>Jeudi PM</t>
  </si>
  <si>
    <t>14h00 – 17h00</t>
  </si>
  <si>
    <t>6-8</t>
  </si>
  <si>
    <t>Finalisation Release 2 + post-mortem J4 + démo prête</t>
  </si>
  <si>
    <t>[US-XX Release 2] + post-mortem</t>
  </si>
  <si>
    <t>🚀 Release 2 17h</t>
  </si>
  <si>
    <t>Soutenance</t>
  </si>
  <si>
    <t>Vendredi</t>
  </si>
  <si>
    <t>Selon planning</t>
  </si>
  <si>
    <t>Pitch (15 min) + démo live MVP + Release 2 + retour réflexif sur les 5 perturbations + Q/R jury</t>
  </si>
  <si>
    <t>🎤 Soutenance + délibération</t>
  </si>
  <si>
    <t>TOTAL semaine</t>
  </si>
  <si>
    <t>~ 50-60 SP</t>
  </si>
  <si>
    <t>Capacité totale = 174 h-pers (équipe de 6 personnes)</t>
  </si>
  <si>
    <t>📌 LÉGENDE</t>
  </si>
  <si>
    <t>🟦 Sprint Review</t>
  </si>
  <si>
    <t>Démo des stories à la fin du sprint + validation PO</t>
  </si>
  <si>
    <t>⚡ Perturbation</t>
  </si>
  <si>
    <t>Événement imprévu déclenché par l'équipe pédagogique, voir page Perturbations du site</t>
  </si>
  <si>
    <t>🚀 Release</t>
  </si>
  <si>
    <t>Livraison incrément potentiellement déployable (tag Git + démo enregistrable)</t>
  </si>
  <si>
    <t>🎤 Soutenance</t>
  </si>
  <si>
    <t>Pitch + démo + retour réflexif + Q/R jury (vendredi)</t>
  </si>
  <si>
    <t>BURNUP GLOBAL : SEMAINE APOCAL'IPSSI 2026</t>
  </si>
  <si>
    <t>Trajectoire des story points livrés vs scope total sur les 7 sprints</t>
  </si>
  <si>
    <t>💡 BURNUP vs BURNDOWN</t>
  </si>
  <si>
    <t>Le BURNUP trace les SP livrés cumulés (montant), avec une ligne distincte pour le scope total (qui peut bouger). Différent du burndown qui trace seulement le restant.</t>
  </si>
  <si>
    <t>✅ AVANTAGE BURNUP</t>
  </si>
  <si>
    <t>Visible quand le scope augmente (perturbations qui ajoutent du travail), un simple burndown masquerait ce signal.</t>
  </si>
  <si>
    <t>📐 LECTURE</t>
  </si>
  <si>
    <t>Idéal : ligne droite progressive. Réel : à reporter après chaque Sprint Review. Si l'écart Réel-Idéal se creuse → alerte.</t>
  </si>
  <si>
    <t>Fin de sprint</t>
  </si>
  <si>
    <t>SP livrés (idéal)</t>
  </si>
  <si>
    <t>SP livrés (réel)</t>
  </si>
  <si>
    <t>Scope total</t>
  </si>
  <si>
    <t>Sprint 0</t>
  </si>
  <si>
    <t>Lun 13h30</t>
  </si>
  <si>
    <t>[à compléter]</t>
  </si>
  <si>
    <t>56 (scope initial)</t>
  </si>
  <si>
    <t>Lun 18h</t>
  </si>
  <si>
    <t>56</t>
  </si>
  <si>
    <t>Mar 12h30</t>
  </si>
  <si>
    <t>Mar 18h</t>
  </si>
  <si>
    <t>Mer 12h30</t>
  </si>
  <si>
    <t>Mer 18h</t>
  </si>
  <si>
    <t>56 + [perturbations cumulées]</t>
  </si>
  <si>
    <t>Jeu 12h30</t>
  </si>
  <si>
    <t>56 + [...]</t>
  </si>
  <si>
    <t>Jeu 17h</t>
  </si>
  <si>
    <t>📊 INSÉRER UN GRAPHIQUE</t>
  </si>
  <si>
    <t>Sélectionnez les colonnes Fin de sprint / Idéal / Réel / Scope, puis menu Excel : Insertion &gt; Graphique en courbes. Format conseillé : 3 séries (idéal en pointillés, réel en plein, scope en filled area).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</si>
  <si>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</si>
  <si>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</si>
  <si>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</si>
  <si>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</si>
  <si>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</si>
  <si>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Les 7 sprints sont planifiés avec jour, horaires et capacité (h-pers) chiffrée</t>
  </si>
  <si>
    <t>✅ Oui   ☐ Partiel   ☐ Non</t>
  </si>
  <si>
    <t>9 lignes planifiées avec jour, horaires et capacités</t>
  </si>
  <si>
    <t>L'équipe taille est explicite (ex. 7 personnes), pas de capacité "floue"</t>
  </si>
  <si>
    <t>6 personnes, capacités recalculées (174 h-pers)</t>
  </si>
  <si>
    <t>Chaque sprint a un objectif clair, mesurable, livrable en démo</t>
  </si>
  <si>
    <t>Chaque sprint a un objectif SMART lié aux features F1-F6</t>
  </si>
  <si>
    <t>Chaque sprint liste au moins 1 user story engagée (tag US-XX du Product Backlog)</t>
  </si>
  <si>
    <t>US-01 à US-06 engagées + stories R2 sprints 6-7</t>
  </si>
  <si>
    <t>La Release 1 (MVP) est explicitement positionnée à la fin du Sprint 5 (mercredi 17h45)</t>
  </si>
  <si>
    <t>Release 1 (MVP) positionnée Sprint 5 · mercredi 17h45</t>
  </si>
  <si>
    <t>La Release 2 est explicitement positionnée à la fin du Sprint 7 (jeudi 17h)</t>
  </si>
  <si>
    <t>Release 2 positionnée Sprint 7 · jeudi 17h</t>
  </si>
  <si>
    <t>Les 5 perturbations sont positionnées sur le planning aux bons créneaux</t>
  </si>
  <si>
    <t>J2 (mar 10h), J3 (mer 10h), J3-bis (mer 14h), J4 (jeu 10h)</t>
  </si>
  <si>
    <t>La feuille Burnup global est remplie avec un scope initial chiffré (~50-60 SP)</t>
  </si>
  <si>
    <t>Scope initial = 56 SP, burnup rempli</t>
  </si>
  <si>
    <t>Le Release Planning a été co-construit en équipe (toutes les voix entendues)</t>
  </si>
  <si>
    <t>Co-construit par l'équipe 25 lors du cadrage matinal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</si>
</sst>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&quot;-&quot;??_-;_-@_-"/>
    <numFmt numFmtId="177" formatCode="_-* #,##0_-;\-&quot;€&quot;* #,##0_-;_-&quot;€&quot;* &quot;-&quot;_-;_-@_-"/>
  </numFmts>
  <fonts count="47">
    <font>
      <sz val="11"/>
      <color theme="1"/>
      <name val="Calibri"/>
      <charset val="1"/>
    </font>
    <font>
      <b/>
      <sz val="14"/>
      <color rgb="FF1E1B4B"/>
      <name val="Cambria"/>
      <charset val="1"/>
    </font>
    <font>
      <i/>
      <sz val="10"/>
      <color rgb="FF475569"/>
      <name val="Cambria"/>
      <charset val="1"/>
    </font>
    <font>
      <b/>
      <sz val="11"/>
      <color rgb="FFFFFFFF"/>
      <name val="Cambria"/>
      <charset val="1"/>
    </font>
    <font>
      <b/>
      <sz val="11"/>
      <color rgb="FF16A34A"/>
      <name val="Inter"/>
      <charset val="1"/>
    </font>
    <font>
      <sz val="11"/>
      <color rgb="FF475569"/>
      <name val="Inter"/>
      <charset val="1"/>
    </font>
    <font>
      <b/>
      <sz val="18"/>
      <color rgb="FF1E1B4B"/>
      <name val="Cambria"/>
      <charset val="1"/>
    </font>
    <font>
      <b/>
      <sz val="10"/>
      <color rgb="FFF59E0B"/>
      <name val="Cambria"/>
      <charset val="1"/>
    </font>
    <font>
      <b/>
      <sz val="10"/>
      <color rgb="FF16A34A"/>
      <name val="Cambria"/>
      <charset val="1"/>
    </font>
    <font>
      <b/>
      <sz val="10"/>
      <color rgb="FF1E1B4B"/>
      <name val="Cambria"/>
      <charset val="1"/>
    </font>
    <font>
      <sz val="10"/>
      <color rgb="FF1E1B4B"/>
      <name val="Cambria"/>
      <charset val="1"/>
    </font>
    <font>
      <i/>
      <sz val="9"/>
      <color rgb="FF475569"/>
      <name val="Cambria"/>
      <charset val="1"/>
    </font>
    <font>
      <b/>
      <sz val="10"/>
      <color rgb="FFDC2626"/>
      <name val="Cambria"/>
      <charset val="1"/>
    </font>
    <font>
      <b/>
      <sz val="11"/>
      <color rgb="FF1E1B4B"/>
      <name val="Cambria"/>
      <charset val="1"/>
    </font>
    <font>
      <sz val="10"/>
      <color rgb="FF1E1B4B"/>
      <name val="Inter"/>
      <charset val="1"/>
    </font>
    <font>
      <b/>
      <sz val="11"/>
      <color rgb="FF1E1B4B"/>
      <name val="Inter"/>
      <charset val="1"/>
    </font>
    <font>
      <sz val="10"/>
      <color rgb="FF475569"/>
      <name val="Inter"/>
      <charset val="1"/>
    </font>
    <font>
      <sz val="10"/>
      <color rgb="FFB45309"/>
      <name val="Cambria"/>
      <charset val="1"/>
    </font>
    <font>
      <sz val="10"/>
      <color rgb="FFDC2626"/>
      <name val="Cambria"/>
      <charset val="1"/>
    </font>
    <font>
      <sz val="10"/>
      <color rgb="FF16A34A"/>
      <name val="Cambria"/>
      <charset val="1"/>
    </font>
    <font>
      <b/>
      <sz val="12"/>
      <color rgb="FFF59E0B"/>
      <name val="Cambria"/>
      <charset val="1"/>
    </font>
    <font>
      <b/>
      <sz val="9"/>
      <color rgb="FFF59E0B"/>
      <name val="Cambria"/>
      <charset val="1"/>
    </font>
    <font>
      <b/>
      <sz val="72"/>
      <color rgb="FF1E1B4B"/>
      <name val="Cambria"/>
      <charset val="1"/>
    </font>
    <font>
      <b/>
      <sz val="24"/>
      <color rgb="FF1E1B4B"/>
      <name val="Cambria"/>
      <charset val="1"/>
    </font>
    <font>
      <i/>
      <sz val="12"/>
      <color rgb="FF475569"/>
      <name val="Cambria"/>
      <charset val="1"/>
    </font>
    <font>
      <b/>
      <sz val="11"/>
      <color rgb="FF475569"/>
      <name val="Cambria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E1B4B"/>
        <bgColor rgb="FF003366"/>
      </patternFill>
    </fill>
    <fill>
      <patternFill patternType="solid">
        <fgColor rgb="FFEEF2FF"/>
        <bgColor rgb="FFF8FAFC"/>
      </patternFill>
    </fill>
    <fill>
      <patternFill patternType="solid">
        <fgColor rgb="FFFFFFFF"/>
        <bgColor rgb="FFF8FAFC"/>
      </patternFill>
    </fill>
    <fill>
      <patternFill patternType="solid">
        <fgColor rgb="FFFFFBEB"/>
        <bgColor rgb="FFF8FAFC"/>
      </patternFill>
    </fill>
    <fill>
      <patternFill patternType="solid">
        <fgColor rgb="FFFEF3C7"/>
        <bgColor rgb="FFFFFBEB"/>
      </patternFill>
    </fill>
    <fill>
      <patternFill patternType="solid">
        <fgColor rgb="FFDCFCE7"/>
        <bgColor rgb="FFEEF2FF"/>
      </patternFill>
    </fill>
    <fill>
      <patternFill patternType="solid">
        <fgColor rgb="FFE0E7FF"/>
        <bgColor rgb="FFEEF2FF"/>
      </patternFill>
    </fill>
    <fill>
      <patternFill patternType="solid">
        <fgColor rgb="FFF8FAFC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6" fillId="0" borderId="0" applyBorder="0" applyAlignment="0" applyProtection="0"/>
    <xf numFmtId="176" fontId="26" fillId="0" borderId="0" applyBorder="0" applyAlignment="0" applyProtection="0"/>
    <xf numFmtId="9" fontId="26" fillId="0" borderId="0" applyBorder="0" applyAlignment="0" applyProtection="0"/>
    <xf numFmtId="41" fontId="26" fillId="0" borderId="0" applyBorder="0" applyAlignment="0" applyProtection="0"/>
    <xf numFmtId="177" fontId="26" fillId="0" borderId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0" borderId="3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4" applyNumberFormat="0" applyFill="0" applyAlignment="0" applyProtection="0">
      <alignment vertical="center"/>
    </xf>
    <xf numFmtId="0" fontId="34" fillId="0" borderId="4" applyNumberFormat="0" applyFill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11" borderId="6" applyNumberFormat="0" applyAlignment="0" applyProtection="0">
      <alignment vertical="center"/>
    </xf>
    <xf numFmtId="0" fontId="37" fillId="12" borderId="7" applyNumberFormat="0" applyAlignment="0" applyProtection="0">
      <alignment vertical="center"/>
    </xf>
    <xf numFmtId="0" fontId="38" fillId="12" borderId="6" applyNumberFormat="0" applyAlignment="0" applyProtection="0">
      <alignment vertical="center"/>
    </xf>
    <xf numFmtId="0" fontId="39" fillId="13" borderId="8" applyNumberFormat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3" fillId="3" borderId="2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vertical="center" wrapText="1"/>
    </xf>
    <xf numFmtId="0" fontId="14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vertical="center" wrapText="1"/>
    </xf>
    <xf numFmtId="0" fontId="10" fillId="4" borderId="2" xfId="0" applyFont="1" applyFill="1" applyBorder="1" applyAlignment="1">
      <alignment vertical="center" wrapText="1"/>
    </xf>
    <xf numFmtId="0" fontId="14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vertical="center" wrapText="1"/>
    </xf>
    <xf numFmtId="0" fontId="10" fillId="5" borderId="2" xfId="0" applyFont="1" applyFill="1" applyBorder="1" applyAlignment="1">
      <alignment vertical="center" wrapText="1"/>
    </xf>
    <xf numFmtId="0" fontId="14" fillId="5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vertical="center" wrapText="1"/>
    </xf>
    <xf numFmtId="0" fontId="10" fillId="6" borderId="2" xfId="0" applyFont="1" applyFill="1" applyBorder="1" applyAlignment="1">
      <alignment vertical="center" wrapText="1"/>
    </xf>
    <xf numFmtId="0" fontId="14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vertical="center" wrapText="1"/>
    </xf>
    <xf numFmtId="0" fontId="10" fillId="7" borderId="2" xfId="0" applyFont="1" applyFill="1" applyBorder="1" applyAlignment="1">
      <alignment vertical="center" wrapText="1"/>
    </xf>
    <xf numFmtId="0" fontId="10" fillId="7" borderId="2" xfId="0" applyFont="1" applyFill="1" applyBorder="1" applyAlignment="1">
      <alignment horizontal="center" vertical="center"/>
    </xf>
    <xf numFmtId="0" fontId="13" fillId="8" borderId="2" xfId="0" applyFont="1" applyFill="1" applyBorder="1"/>
    <xf numFmtId="0" fontId="0" fillId="8" borderId="2" xfId="0" applyFill="1" applyBorder="1"/>
    <xf numFmtId="0" fontId="15" fillId="8" borderId="2" xfId="0" applyFont="1" applyFill="1" applyBorder="1" applyAlignment="1">
      <alignment horizontal="left" vertical="center"/>
    </xf>
    <xf numFmtId="0" fontId="16" fillId="8" borderId="2" xfId="0" applyFont="1" applyFill="1" applyBorder="1"/>
    <xf numFmtId="0" fontId="10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3" fillId="9" borderId="1" xfId="0" applyFont="1" applyFill="1" applyBorder="1"/>
    <xf numFmtId="0" fontId="16" fillId="0" borderId="1" xfId="0" applyFont="1" applyBorder="1" applyAlignment="1">
      <alignment horizontal="left" vertical="center" wrapText="1"/>
    </xf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78787"/>
      <rgbColor rgb="009999FF"/>
      <rgbColor rgb="00993366"/>
      <rgbColor rgb="00FEF3C7"/>
      <rgbColor rgb="00DCFCE7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EF2FF"/>
      <rgbColor rgb="00E0E7FF"/>
      <rgbColor rgb="00FFFBEB"/>
      <rgbColor rgb="0099CCFF"/>
      <rgbColor rgb="00FF99CC"/>
      <rgbColor rgb="00CC99FF"/>
      <rgbColor rgb="00F8FAFC"/>
      <rgbColor rgb="003366FF"/>
      <rgbColor rgb="0033CCCC"/>
      <rgbColor rgb="0099CC00"/>
      <rgbColor rgb="00FFCC00"/>
      <rgbColor rgb="00F59E0B"/>
      <rgbColor rgb="00FF6600"/>
      <rgbColor rgb="00475569"/>
      <rgbColor rgb="0094A3B8"/>
      <rgbColor rgb="00003366"/>
      <rgbColor rgb="0016A34A"/>
      <rgbColor rgb="00003300"/>
      <rgbColor rgb="00333300"/>
      <rgbColor rgb="00B45309"/>
      <rgbColor rgb="00993366"/>
      <rgbColor rgb="00333399"/>
      <rgbColor rgb="001E1B4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fr-FR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Burnup Global · Équipe 25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'Burnup global'!$C$8</c:f>
              <c:strCache>
                <c:ptCount val="1"/>
                <c:pt idx="0">
                  <c:v>SP livrés (idéal)</c:v>
                </c:pt>
              </c:strCache>
            </c:strRef>
          </c:tx>
          <c:spPr>
            <a:ln w="20160" cap="rnd" cmpd="sng" algn="ctr">
              <a:solidFill>
                <a:srgbClr val="1E1B4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fr-FR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'Burnup global'!$B$9:$B$16</c:f>
              <c:strCache>
                <c:ptCount val="8"/>
                <c:pt idx="0">
                  <c:v>Lun 13h30</c:v>
                </c:pt>
                <c:pt idx="1">
                  <c:v>Lun 18h</c:v>
                </c:pt>
                <c:pt idx="2">
                  <c:v>Mar 12h30</c:v>
                </c:pt>
                <c:pt idx="3">
                  <c:v>Mar 18h</c:v>
                </c:pt>
                <c:pt idx="4">
                  <c:v>Mer 12h30</c:v>
                </c:pt>
                <c:pt idx="5">
                  <c:v>Mer 18h</c:v>
                </c:pt>
                <c:pt idx="6">
                  <c:v>Jeu 12h30</c:v>
                </c:pt>
                <c:pt idx="7">
                  <c:v>Jeu 17h</c:v>
                </c:pt>
              </c:strCache>
            </c:strRef>
          </c:cat>
          <c:val>
            <c:numRef>
              <c:f>'Burnup global'!$C$9:$C$16</c:f>
              <c:numCache>
                <c:formatCode>General</c:formatCode>
                <c:ptCount val="8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48</c:v>
                </c:pt>
                <c:pt idx="7">
                  <c:v>56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'Burnup global'!$D$8</c:f>
              <c:strCache>
                <c:ptCount val="1"/>
                <c:pt idx="0">
                  <c:v>SP livrés (réel)</c:v>
                </c:pt>
              </c:strCache>
            </c:strRef>
          </c:tx>
          <c:spPr>
            <a:ln w="24840" cap="rnd" cmpd="sng" algn="ctr">
              <a:solidFill>
                <a:srgbClr val="F59E0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fr-FR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'Burnup global'!$B$9:$B$16</c:f>
              <c:strCache>
                <c:ptCount val="8"/>
                <c:pt idx="0">
                  <c:v>Lun 13h30</c:v>
                </c:pt>
                <c:pt idx="1">
                  <c:v>Lun 18h</c:v>
                </c:pt>
                <c:pt idx="2">
                  <c:v>Mar 12h30</c:v>
                </c:pt>
                <c:pt idx="3">
                  <c:v>Mar 18h</c:v>
                </c:pt>
                <c:pt idx="4">
                  <c:v>Mer 12h30</c:v>
                </c:pt>
                <c:pt idx="5">
                  <c:v>Mer 18h</c:v>
                </c:pt>
                <c:pt idx="6">
                  <c:v>Jeu 12h30</c:v>
                </c:pt>
                <c:pt idx="7">
                  <c:v>Jeu 17h</c:v>
                </c:pt>
              </c:strCache>
            </c:strRef>
          </c:cat>
          <c:val>
            <c:numRef>
              <c:f>'Burnup global'!$D$9:$D$16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'Burnup global'!$E$8</c:f>
              <c:strCache>
                <c:ptCount val="1"/>
                <c:pt idx="0">
                  <c:v>Scope total</c:v>
                </c:pt>
              </c:strCache>
            </c:strRef>
          </c:tx>
          <c:spPr>
            <a:ln w="15120" cap="rnd" cmpd="sng" algn="ctr">
              <a:solidFill>
                <a:srgbClr val="DCFCE7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fr-FR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'Burnup global'!$B$9:$B$16</c:f>
              <c:strCache>
                <c:ptCount val="8"/>
                <c:pt idx="0">
                  <c:v>Lun 13h30</c:v>
                </c:pt>
                <c:pt idx="1">
                  <c:v>Lun 18h</c:v>
                </c:pt>
                <c:pt idx="2">
                  <c:v>Mar 12h30</c:v>
                </c:pt>
                <c:pt idx="3">
                  <c:v>Mar 18h</c:v>
                </c:pt>
                <c:pt idx="4">
                  <c:v>Mer 12h30</c:v>
                </c:pt>
                <c:pt idx="5">
                  <c:v>Mer 18h</c:v>
                </c:pt>
                <c:pt idx="6">
                  <c:v>Jeu 12h30</c:v>
                </c:pt>
                <c:pt idx="7">
                  <c:v>Jeu 17h</c:v>
                </c:pt>
              </c:strCache>
            </c:strRef>
          </c:cat>
          <c:val>
            <c:numRef>
              <c:f>'Burnup global'!$E$9:$E$16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0"/>
        <c:smooth val="1"/>
        <c:axId val="24372033"/>
        <c:axId val="63378184"/>
      </c:lineChart>
      <c:catAx>
        <c:axId val="2437203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fr-FR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Sprint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fr-FR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63378184"/>
        <c:crosses val="autoZero"/>
        <c:auto val="1"/>
        <c:lblAlgn val="ctr"/>
        <c:lblOffset val="100"/>
        <c:noMultiLvlLbl val="0"/>
      </c:catAx>
      <c:valAx>
        <c:axId val="63378184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fr-FR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Story Points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fr-FR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243720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fr-FR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057452ce-4de3-4270-9d4c-6018742c9e9b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fr-FR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18</xdr:row>
      <xdr:rowOff>101160</xdr:rowOff>
    </xdr:from>
    <xdr:to>
      <xdr:col>8</xdr:col>
      <xdr:colOff>23400</xdr:colOff>
      <xdr:row>45</xdr:row>
      <xdr:rowOff>4680</xdr:rowOff>
    </xdr:to>
    <xdr:graphicFrame>
      <xdr:nvGraphicFramePr>
        <xdr:cNvPr id="2" name="Chart 1"/>
        <xdr:cNvGraphicFramePr/>
      </xdr:nvGraphicFramePr>
      <xdr:xfrm>
        <a:off x="0" y="4551045"/>
        <a:ext cx="7705725" cy="4841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21"/>
  <sheetViews>
    <sheetView showGridLines="0" workbookViewId="0">
      <selection activeCell="A1" sqref="A1"/>
    </sheetView>
  </sheetViews>
  <sheetFormatPr defaultColWidth="8.67592592592593" defaultRowHeight="14.4" outlineLevelCol="1"/>
  <cols>
    <col min="1" max="1" width="4" customWidth="1"/>
    <col min="2" max="2" width="90" customWidth="1"/>
  </cols>
  <sheetData>
    <row r="2" ht="88.8" spans="2:2">
      <c r="B2" s="46" t="s">
        <v>0</v>
      </c>
    </row>
    <row r="4" ht="17.4" spans="2:2">
      <c r="B4" s="1" t="s">
        <v>1</v>
      </c>
    </row>
    <row r="8" spans="2:2">
      <c r="B8" s="9" t="s">
        <v>2</v>
      </c>
    </row>
    <row r="10" ht="30" spans="2:2">
      <c r="B10" s="47" t="s">
        <v>3</v>
      </c>
    </row>
    <row r="12" ht="15" spans="2:2">
      <c r="B12" s="48" t="s">
        <v>4</v>
      </c>
    </row>
    <row r="20" spans="2:2">
      <c r="B20" s="49" t="s">
        <v>5</v>
      </c>
    </row>
    <row r="21" spans="2:2">
      <c r="B21" s="13" t="s">
        <v>6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13"/>
  <sheetViews>
    <sheetView showGridLines="0" workbookViewId="0">
      <selection activeCell="B13" sqref="B13"/>
    </sheetView>
  </sheetViews>
  <sheetFormatPr defaultColWidth="8.67592592592593" defaultRowHeight="14.4" outlineLevelCol="2"/>
  <cols>
    <col min="1" max="1" width="2" customWidth="1"/>
    <col min="2" max="2" width="25" customWidth="1"/>
    <col min="3" max="3" width="60" customWidth="1"/>
  </cols>
  <sheetData>
    <row r="2" ht="15" spans="2:3">
      <c r="B2" s="42" t="s">
        <v>7</v>
      </c>
    </row>
    <row r="3" spans="2:3">
      <c r="B3" s="2" t="s">
        <v>8</v>
      </c>
    </row>
    <row r="5" ht="21.75" customHeight="1" spans="2:3">
      <c r="B5" s="43" t="s">
        <v>9</v>
      </c>
      <c r="C5" s="44" t="s">
        <v>10</v>
      </c>
    </row>
    <row r="6" ht="21.75" customHeight="1" spans="2:3">
      <c r="B6" s="43" t="s">
        <v>11</v>
      </c>
      <c r="C6" s="44" t="s">
        <v>12</v>
      </c>
    </row>
    <row r="7" ht="21.75" customHeight="1" spans="2:3">
      <c r="B7" s="43" t="s">
        <v>13</v>
      </c>
      <c r="C7" s="44" t="s">
        <v>14</v>
      </c>
    </row>
    <row r="8" ht="21.75" customHeight="1" spans="2:3">
      <c r="B8" s="43" t="s">
        <v>15</v>
      </c>
      <c r="C8" s="44" t="s">
        <v>16</v>
      </c>
    </row>
    <row r="9" ht="21.75" customHeight="1" spans="2:3">
      <c r="B9" s="43" t="s">
        <v>17</v>
      </c>
      <c r="C9" s="44" t="s">
        <v>18</v>
      </c>
    </row>
    <row r="10" ht="21.75" customHeight="1" spans="2:3">
      <c r="B10" s="43" t="s">
        <v>19</v>
      </c>
      <c r="C10" s="44" t="s">
        <v>20</v>
      </c>
    </row>
    <row r="12" spans="2:3">
      <c r="B12" s="45" t="s">
        <v>21</v>
      </c>
    </row>
    <row r="13" spans="2:3">
      <c r="B13" s="13" t="s">
        <v>22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showGridLines="0" tabSelected="1" workbookViewId="0">
      <pane ySplit="9" topLeftCell="A17" activePane="bottomLeft" state="frozen"/>
      <selection/>
      <selection pane="bottomLeft" activeCell="A1" sqref="A1"/>
    </sheetView>
  </sheetViews>
  <sheetFormatPr defaultColWidth="8.67592592592593" defaultRowHeight="14.4" outlineLevelCol="7"/>
  <cols>
    <col min="1" max="1" width="12" customWidth="1"/>
    <col min="2" max="2" width="16" customWidth="1"/>
    <col min="3" max="5" width="14" customWidth="1"/>
    <col min="6" max="6" width="38" customWidth="1"/>
    <col min="7" max="7" width="28" customWidth="1"/>
    <col min="8" max="8" width="22" customWidth="1"/>
  </cols>
  <sheetData>
    <row r="1" ht="22.8" spans="1:8">
      <c r="A1" s="8" t="s">
        <v>23</v>
      </c>
    </row>
    <row r="2" spans="1:8">
      <c r="A2" s="2" t="s">
        <v>24</v>
      </c>
    </row>
    <row r="4" spans="1:8">
      <c r="A4" s="9" t="s">
        <v>25</v>
      </c>
      <c r="B4" s="2" t="s">
        <v>26</v>
      </c>
    </row>
    <row r="5" spans="1:8">
      <c r="A5" s="9" t="s">
        <v>27</v>
      </c>
      <c r="B5" s="2" t="s">
        <v>28</v>
      </c>
    </row>
    <row r="6" spans="1:8">
      <c r="A6" s="10" t="s">
        <v>29</v>
      </c>
      <c r="B6" s="2" t="s">
        <v>30</v>
      </c>
    </row>
    <row r="7" spans="1:8">
      <c r="A7" s="14" t="s">
        <v>31</v>
      </c>
      <c r="B7" s="2" t="s">
        <v>32</v>
      </c>
    </row>
    <row r="9" ht="27.6" spans="1:8">
      <c r="A9" s="3" t="s">
        <v>33</v>
      </c>
      <c r="B9" s="3" t="s">
        <v>34</v>
      </c>
      <c r="C9" s="3" t="s">
        <v>35</v>
      </c>
      <c r="D9" s="3" t="s">
        <v>36</v>
      </c>
      <c r="E9" s="3" t="s">
        <v>37</v>
      </c>
      <c r="F9" s="3" t="s">
        <v>38</v>
      </c>
      <c r="G9" s="3" t="s">
        <v>39</v>
      </c>
      <c r="H9" s="3" t="s">
        <v>40</v>
      </c>
    </row>
    <row r="10" ht="45" customHeight="1" spans="1:8">
      <c r="A10" s="15" t="s">
        <v>14</v>
      </c>
      <c r="B10" s="16" t="s">
        <v>41</v>
      </c>
      <c r="C10" s="16" t="s">
        <v>42</v>
      </c>
      <c r="D10" s="17">
        <v>21</v>
      </c>
      <c r="E10" s="18" t="s">
        <v>43</v>
      </c>
      <c r="F10" s="16" t="s">
        <v>44</v>
      </c>
      <c r="G10" s="16" t="s">
        <v>43</v>
      </c>
      <c r="H10" s="16" t="s">
        <v>45</v>
      </c>
    </row>
    <row r="11" ht="45" customHeight="1" spans="1:8">
      <c r="A11" s="19" t="s">
        <v>46</v>
      </c>
      <c r="B11" s="20" t="s">
        <v>47</v>
      </c>
      <c r="C11" s="20" t="s">
        <v>48</v>
      </c>
      <c r="D11" s="21">
        <v>24</v>
      </c>
      <c r="E11" s="22" t="s">
        <v>49</v>
      </c>
      <c r="F11" s="20" t="s">
        <v>50</v>
      </c>
      <c r="G11" s="20" t="s">
        <v>51</v>
      </c>
      <c r="H11" s="20" t="s">
        <v>52</v>
      </c>
    </row>
    <row r="12" ht="45" customHeight="1" spans="1:8">
      <c r="A12" s="23" t="s">
        <v>53</v>
      </c>
      <c r="B12" s="24" t="s">
        <v>54</v>
      </c>
      <c r="C12" s="24" t="s">
        <v>55</v>
      </c>
      <c r="D12" s="25">
        <v>21</v>
      </c>
      <c r="E12" s="26" t="s">
        <v>56</v>
      </c>
      <c r="F12" s="24" t="s">
        <v>57</v>
      </c>
      <c r="G12" s="24" t="s">
        <v>58</v>
      </c>
      <c r="H12" s="24" t="s">
        <v>59</v>
      </c>
    </row>
    <row r="13" ht="45" customHeight="1" spans="1:8">
      <c r="A13" s="19" t="s">
        <v>60</v>
      </c>
      <c r="B13" s="20" t="s">
        <v>61</v>
      </c>
      <c r="C13" s="20" t="s">
        <v>48</v>
      </c>
      <c r="D13" s="21">
        <v>24</v>
      </c>
      <c r="E13" s="22" t="s">
        <v>49</v>
      </c>
      <c r="F13" s="20" t="s">
        <v>62</v>
      </c>
      <c r="G13" s="20" t="s">
        <v>63</v>
      </c>
      <c r="H13" s="20" t="s">
        <v>52</v>
      </c>
    </row>
    <row r="14" ht="45" customHeight="1" spans="1:8">
      <c r="A14" s="23" t="s">
        <v>64</v>
      </c>
      <c r="B14" s="24" t="s">
        <v>65</v>
      </c>
      <c r="C14" s="24" t="s">
        <v>55</v>
      </c>
      <c r="D14" s="25">
        <v>21</v>
      </c>
      <c r="E14" s="26" t="s">
        <v>56</v>
      </c>
      <c r="F14" s="24" t="s">
        <v>66</v>
      </c>
      <c r="G14" s="24" t="s">
        <v>67</v>
      </c>
      <c r="H14" s="24" t="s">
        <v>68</v>
      </c>
    </row>
    <row r="15" ht="45" customHeight="1" spans="1:8">
      <c r="A15" s="27" t="s">
        <v>69</v>
      </c>
      <c r="B15" s="28" t="s">
        <v>70</v>
      </c>
      <c r="C15" s="28" t="s">
        <v>48</v>
      </c>
      <c r="D15" s="29">
        <v>24</v>
      </c>
      <c r="E15" s="30" t="s">
        <v>56</v>
      </c>
      <c r="F15" s="28" t="s">
        <v>71</v>
      </c>
      <c r="G15" s="28" t="s">
        <v>72</v>
      </c>
      <c r="H15" s="28" t="s">
        <v>73</v>
      </c>
    </row>
    <row r="16" ht="45" customHeight="1" spans="1:8">
      <c r="A16" s="23" t="s">
        <v>74</v>
      </c>
      <c r="B16" s="24" t="s">
        <v>75</v>
      </c>
      <c r="C16" s="24" t="s">
        <v>55</v>
      </c>
      <c r="D16" s="25">
        <v>21</v>
      </c>
      <c r="E16" s="26" t="s">
        <v>76</v>
      </c>
      <c r="F16" s="24" t="s">
        <v>77</v>
      </c>
      <c r="G16" s="24" t="s">
        <v>78</v>
      </c>
      <c r="H16" s="24" t="s">
        <v>79</v>
      </c>
    </row>
    <row r="17" ht="45" customHeight="1" spans="1:8">
      <c r="A17" s="27" t="s">
        <v>80</v>
      </c>
      <c r="B17" s="28" t="s">
        <v>81</v>
      </c>
      <c r="C17" s="28" t="s">
        <v>82</v>
      </c>
      <c r="D17" s="29">
        <v>18</v>
      </c>
      <c r="E17" s="30" t="s">
        <v>83</v>
      </c>
      <c r="F17" s="28" t="s">
        <v>84</v>
      </c>
      <c r="G17" s="28" t="s">
        <v>85</v>
      </c>
      <c r="H17" s="28" t="s">
        <v>86</v>
      </c>
    </row>
    <row r="18" ht="45" customHeight="1" spans="1:8">
      <c r="A18" s="31" t="s">
        <v>87</v>
      </c>
      <c r="B18" s="32" t="s">
        <v>88</v>
      </c>
      <c r="C18" s="32" t="s">
        <v>89</v>
      </c>
      <c r="D18" s="33" t="s">
        <v>43</v>
      </c>
      <c r="E18" s="33" t="s">
        <v>43</v>
      </c>
      <c r="F18" s="32" t="s">
        <v>90</v>
      </c>
      <c r="G18" s="32" t="s">
        <v>43</v>
      </c>
      <c r="H18" s="32" t="s">
        <v>91</v>
      </c>
    </row>
    <row r="19" spans="1:8">
      <c r="A19" s="34" t="s">
        <v>92</v>
      </c>
      <c r="B19" s="35"/>
      <c r="C19" s="35"/>
      <c r="D19" s="36">
        <f>SUM(D10:D18)</f>
        <v>174</v>
      </c>
      <c r="E19" s="34" t="s">
        <v>93</v>
      </c>
      <c r="F19" s="37" t="s">
        <v>94</v>
      </c>
      <c r="G19" s="35"/>
      <c r="H19" s="35"/>
    </row>
    <row r="21" spans="1:8">
      <c r="A21" s="9" t="s">
        <v>95</v>
      </c>
    </row>
    <row r="22" spans="1:8">
      <c r="A22" s="38" t="s">
        <v>96</v>
      </c>
      <c r="B22" s="2" t="s">
        <v>97</v>
      </c>
    </row>
    <row r="23" spans="1:8">
      <c r="A23" s="39" t="s">
        <v>98</v>
      </c>
      <c r="B23" s="2" t="s">
        <v>99</v>
      </c>
    </row>
    <row r="24" spans="1:8">
      <c r="A24" s="40" t="s">
        <v>100</v>
      </c>
      <c r="B24" s="2" t="s">
        <v>101</v>
      </c>
    </row>
    <row r="25" spans="1:8">
      <c r="A25" s="41" t="s">
        <v>102</v>
      </c>
      <c r="B25" s="2" t="s">
        <v>103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showGridLines="0" topLeftCell="A20" workbookViewId="0">
      <selection activeCell="A1" sqref="A1"/>
    </sheetView>
  </sheetViews>
  <sheetFormatPr defaultColWidth="8.67592592592593" defaultRowHeight="14.4" outlineLevelCol="4"/>
  <cols>
    <col min="1" max="1" width="12" customWidth="1"/>
    <col min="2" max="2" width="14" customWidth="1"/>
    <col min="3" max="4" width="18" customWidth="1"/>
    <col min="5" max="5" width="24" customWidth="1"/>
  </cols>
  <sheetData>
    <row r="1" ht="22.8" spans="1:5">
      <c r="A1" s="8" t="s">
        <v>104</v>
      </c>
    </row>
    <row r="2" spans="1:5">
      <c r="A2" s="2" t="s">
        <v>105</v>
      </c>
    </row>
    <row r="4" spans="1:5">
      <c r="A4" s="9" t="s">
        <v>106</v>
      </c>
      <c r="B4" s="2" t="s">
        <v>107</v>
      </c>
    </row>
    <row r="5" spans="1:5">
      <c r="A5" s="10" t="s">
        <v>108</v>
      </c>
      <c r="B5" s="2" t="s">
        <v>109</v>
      </c>
    </row>
    <row r="6" spans="1:5">
      <c r="A6" s="9" t="s">
        <v>110</v>
      </c>
      <c r="B6" s="2" t="s">
        <v>111</v>
      </c>
    </row>
    <row r="8" spans="1:5">
      <c r="A8" s="3" t="s">
        <v>33</v>
      </c>
      <c r="B8" s="3" t="s">
        <v>112</v>
      </c>
      <c r="C8" s="3" t="s">
        <v>113</v>
      </c>
      <c r="D8" s="3" t="s">
        <v>114</v>
      </c>
      <c r="E8" s="3" t="s">
        <v>115</v>
      </c>
    </row>
    <row r="9" ht="24.75" customHeight="1" spans="1:5">
      <c r="A9" s="11" t="s">
        <v>116</v>
      </c>
      <c r="B9" s="12" t="s">
        <v>117</v>
      </c>
      <c r="C9" s="12">
        <v>0</v>
      </c>
      <c r="D9" s="12" t="s">
        <v>118</v>
      </c>
      <c r="E9" s="12" t="s">
        <v>119</v>
      </c>
    </row>
    <row r="10" ht="24.75" customHeight="1" spans="1:5">
      <c r="A10" s="11" t="s">
        <v>46</v>
      </c>
      <c r="B10" s="12" t="s">
        <v>120</v>
      </c>
      <c r="C10" s="12">
        <v>8</v>
      </c>
      <c r="D10" s="12" t="s">
        <v>118</v>
      </c>
      <c r="E10" s="12" t="s">
        <v>121</v>
      </c>
    </row>
    <row r="11" ht="24.75" customHeight="1" spans="1:5">
      <c r="A11" s="11" t="s">
        <v>53</v>
      </c>
      <c r="B11" s="12" t="s">
        <v>122</v>
      </c>
      <c r="C11" s="12">
        <v>16</v>
      </c>
      <c r="D11" s="12" t="s">
        <v>118</v>
      </c>
      <c r="E11" s="12" t="s">
        <v>121</v>
      </c>
    </row>
    <row r="12" ht="24.75" customHeight="1" spans="1:5">
      <c r="A12" s="11" t="s">
        <v>60</v>
      </c>
      <c r="B12" s="12" t="s">
        <v>123</v>
      </c>
      <c r="C12" s="12">
        <v>24</v>
      </c>
      <c r="D12" s="12" t="s">
        <v>118</v>
      </c>
      <c r="E12" s="12" t="s">
        <v>121</v>
      </c>
    </row>
    <row r="13" ht="24.75" customHeight="1" spans="1:5">
      <c r="A13" s="11" t="s">
        <v>64</v>
      </c>
      <c r="B13" s="12" t="s">
        <v>124</v>
      </c>
      <c r="C13" s="12">
        <v>32</v>
      </c>
      <c r="D13" s="12" t="s">
        <v>118</v>
      </c>
      <c r="E13" s="12" t="s">
        <v>121</v>
      </c>
    </row>
    <row r="14" ht="24.75" customHeight="1" spans="1:5">
      <c r="A14" s="11" t="s">
        <v>69</v>
      </c>
      <c r="B14" s="12" t="s">
        <v>125</v>
      </c>
      <c r="C14" s="12">
        <v>40</v>
      </c>
      <c r="D14" s="12" t="s">
        <v>118</v>
      </c>
      <c r="E14" s="12" t="s">
        <v>126</v>
      </c>
    </row>
    <row r="15" ht="24.75" customHeight="1" spans="1:5">
      <c r="A15" s="11" t="s">
        <v>74</v>
      </c>
      <c r="B15" s="12" t="s">
        <v>127</v>
      </c>
      <c r="C15" s="12">
        <v>48</v>
      </c>
      <c r="D15" s="12" t="s">
        <v>118</v>
      </c>
      <c r="E15" s="12" t="s">
        <v>128</v>
      </c>
    </row>
    <row r="16" ht="24.75" customHeight="1" spans="1:5">
      <c r="A16" s="11" t="s">
        <v>80</v>
      </c>
      <c r="B16" s="12" t="s">
        <v>129</v>
      </c>
      <c r="C16" s="12">
        <v>56</v>
      </c>
      <c r="D16" s="12" t="s">
        <v>118</v>
      </c>
      <c r="E16" s="12" t="s">
        <v>128</v>
      </c>
    </row>
    <row r="18" spans="1:2">
      <c r="A18" s="9" t="s">
        <v>130</v>
      </c>
      <c r="B18" s="13" t="s">
        <v>131</v>
      </c>
    </row>
  </sheetData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14"/>
  <sheetViews>
    <sheetView workbookViewId="0">
      <selection activeCell="A1" sqref="A1"/>
    </sheetView>
  </sheetViews>
  <sheetFormatPr defaultColWidth="8.67592592592593" defaultRowHeight="14.4" outlineLevelCol="3"/>
  <cols>
    <col min="1" max="1" width="2" customWidth="1"/>
    <col min="2" max="2" width="50" customWidth="1"/>
    <col min="3" max="3" width="25" customWidth="1"/>
    <col min="4" max="4" width="40" customWidth="1"/>
  </cols>
  <sheetData>
    <row r="2" ht="17.4" spans="1:4">
      <c r="B2" s="1" t="s">
        <v>132</v>
      </c>
    </row>
    <row r="3" spans="1:4">
      <c r="B3" s="2" t="s">
        <v>133</v>
      </c>
    </row>
    <row r="5" spans="1:4">
      <c r="A5" s="3"/>
      <c r="B5" s="3" t="s">
        <v>134</v>
      </c>
      <c r="C5" s="3" t="s">
        <v>135</v>
      </c>
      <c r="D5" s="4" t="s">
        <v>136</v>
      </c>
    </row>
    <row r="6" ht="30" customHeight="1" spans="1:4">
      <c r="B6" s="5" t="s">
        <v>137</v>
      </c>
      <c r="C6" s="6" t="s">
        <v>138</v>
      </c>
      <c r="D6" s="7" t="s">
        <v>139</v>
      </c>
    </row>
    <row r="7" ht="30" customHeight="1" spans="1:4">
      <c r="B7" s="5" t="s">
        <v>140</v>
      </c>
      <c r="C7" s="6" t="s">
        <v>138</v>
      </c>
      <c r="D7" s="7" t="s">
        <v>141</v>
      </c>
    </row>
    <row r="8" ht="30" customHeight="1" spans="1:4">
      <c r="B8" s="5" t="s">
        <v>142</v>
      </c>
      <c r="C8" s="6" t="s">
        <v>138</v>
      </c>
      <c r="D8" s="7" t="s">
        <v>143</v>
      </c>
    </row>
    <row r="9" ht="30" customHeight="1" spans="1:4">
      <c r="B9" s="5" t="s">
        <v>144</v>
      </c>
      <c r="C9" s="6" t="s">
        <v>138</v>
      </c>
      <c r="D9" s="7" t="s">
        <v>145</v>
      </c>
    </row>
    <row r="10" ht="30" customHeight="1" spans="1:4">
      <c r="B10" s="5" t="s">
        <v>146</v>
      </c>
      <c r="C10" s="6" t="s">
        <v>138</v>
      </c>
      <c r="D10" s="7" t="s">
        <v>147</v>
      </c>
    </row>
    <row r="11" ht="30" customHeight="1" spans="1:4">
      <c r="B11" s="5" t="s">
        <v>148</v>
      </c>
      <c r="C11" s="6" t="s">
        <v>138</v>
      </c>
      <c r="D11" s="7" t="s">
        <v>149</v>
      </c>
    </row>
    <row r="12" ht="30" customHeight="1" spans="1:4">
      <c r="B12" s="5" t="s">
        <v>150</v>
      </c>
      <c r="C12" s="6" t="s">
        <v>138</v>
      </c>
      <c r="D12" s="7" t="s">
        <v>151</v>
      </c>
    </row>
    <row r="13" ht="30" customHeight="1" spans="1:4">
      <c r="B13" s="5" t="s">
        <v>152</v>
      </c>
      <c r="C13" s="6" t="s">
        <v>138</v>
      </c>
      <c r="D13" s="7" t="s">
        <v>153</v>
      </c>
    </row>
    <row r="14" ht="30" customHeight="1" spans="1:4">
      <c r="B14" s="5" t="s">
        <v>154</v>
      </c>
      <c r="C14" s="6" t="s">
        <v>138</v>
      </c>
      <c r="D14" s="7" t="s">
        <v>155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Garde</vt:lpstr>
      <vt:lpstr>Identification</vt:lpstr>
      <vt:lpstr>Release Planning</vt:lpstr>
      <vt:lpstr>Burnup global</vt:lpstr>
      <vt:lpstr>Auto-évaluation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ricat</cp:lastModifiedBy>
  <cp:revision>1</cp:revision>
  <dcterms:created xsi:type="dcterms:W3CDTF">2026-06-25T22:39:00Z</dcterms:created>
  <dcterms:modified xsi:type="dcterms:W3CDTF">2026-06-29T13:41:56Z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49BA265B3C764E76B2C15987582CAE27_12</vt:lpwstr>
  </property>
  <property fmtid="{D5CDD505-2E9C-101B-9397-08002B2CF9AE}" pid="3" name="KSOProductBuildVer">
    <vt:lpwstr>1036-12.1.0.26880</vt:lpwstr>
  </property>
  <property fmtid="{D5CDD505-2E9C-101B-9397-08002B2CF9AE}" pid="4" name="CalculationRule">
    <vt:i4>0</vt:i4>
  </property>
</Properties>
</file>