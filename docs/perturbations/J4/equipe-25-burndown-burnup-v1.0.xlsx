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Burndown (sprint)" sheetId="2" state="visible" r:id="rId4"/>
    <sheet name="Burnup (projet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<sst xmlns="http://schemas.openxmlformats.org/spreadsheetml/2006/main" count="59" uniqueCount="59">
  <si>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Modèle : Burndown de sprint &amp; Burnup de projet</t>
  </si>
  <si>
    <t xml:space="preserve">APOCAL'IPSSI 2026 · Outil de pilotage (perturbation J4)</t>
  </si>
  <si>
    <t xml:space="preserve">À quoi ça sert</t>
  </si>
  <si>
    <t xml:space="preserve">Le BURNDOWN suit le reste à faire d'un sprint : la courbe doit descendre vers 0.</t>
  </si>
  <si>
    <t xml:space="preserve">Le BURNUP suit le réalisé cumulé du projet face au périmètre total (qui peut monter quand une perturbation ajoute du travail).</t>
  </si>
  <si>
    <t xml:space="preserve">Comment l'utiliser</t>
  </si>
  <si>
    <t xml:space="preserve">1. Onglet « Burndown (sprint) » : renseignez le total de points et la durée du sprint. La colonne « Idéal » se calcule toute seule. Chaque soir, saisissez le reste à faire dans la colonne « Réel ».</t>
  </si>
  <si>
    <t xml:space="preserve">2. Onglet « Burnup (projet) » : à chaque fin de sprint, notez le périmètre total et le réalisé cumulé, et l'événement (perturbation) qui fait éventuellement monter le périmètre.</t>
  </si>
  <si>
    <t xml:space="preserve">3. Les graphiques et les indicateurs se recalculent automatiquement.</t>
  </si>
  <si>
    <t xml:space="preserve">4. Les cellules JAUNES sont à remplir. Les chiffres pré-remplis sont l'exemple SkillHub (le même que sur la page J4) : remplacez-les par les vôtres.</t>
  </si>
  <si>
    <t xml:space="preserve">Comment lire les courbes</t>
  </si>
  <si>
    <t xml:space="preserve">Burndown : si la courbe RÉELLE passe AU-DESSUS de la ligne idéale, le sprint est en retard (il reste plus de travail que prévu). On réagit tôt (entraide, replanification).</t>
  </si>
  <si>
    <t xml:space="preserve">Burnup : quand le périmètre monte d'un cran (perturbation), l'écart avec le réalisé se creuse et la date de fin recule. C'est chiffré, pas ressenti.</t>
  </si>
  <si>
    <t xml:space="preserve">Indicateurs de pilotage (calculés automatiquement)</t>
  </si>
  <si>
    <t xml:space="preserve">Vélocité moyenne (points par sprint), reste à faire, et estimation des sprints restants = reste ÷ vélocité. À montrer au jury pour prouver que vous pilotez.</t>
  </si>
  <si>
    <t xml:space="preserve">Auteurs : Mohamed Amine EL AFRIT &amp; Sayf BEJAOUI · Licence CC BY-NC-SA 4.0</t>
  </si>
  <si>
    <t xml:space="preserve">Burndown de sprint — Semaine APOCAL'IPSSI 2026 · Équipe 25</t>
  </si>
  <si>
    <t xml:space="preserve">Reste à faire sprint par sprint. 7 sprints demi-journée · 70 SP scope total (avec perturbations J2/J3/J3-bis)</t>
  </si>
  <si>
    <t xml:space="preserve">Paramètres</t>
  </si>
  <si>
    <t xml:space="preserve">Total de points engagés</t>
  </si>
  <si>
    <t xml:space="preserve">Durée du sprint (jours)</t>
  </si>
  <si>
    <t xml:space="preserve">Jour</t>
  </si>
  <si>
    <t xml:space="preserve">Idéal</t>
  </si>
  <si>
    <t xml:space="preserve">Réel (reste à faire)</t>
  </si>
  <si>
    <t xml:space="preserve">Indicateurs</t>
  </si>
  <si>
    <t xml:space="preserve">Reste à faire (dernier jour)</t>
  </si>
  <si>
    <t xml:space="preserve">Points terminés</t>
  </si>
  <si>
    <t xml:space="preserve">Idéal au dernier jour</t>
  </si>
  <si>
    <t xml:space="preserve">% terminé</t>
  </si>
  <si>
    <t xml:space="preserve">Burnup de projet — Semaine APOCAL'IPSSI 2026 · Équipe 25</t>
  </si>
  <si>
    <t xml:space="preserve">Périmètre total vs réalisé cumulé · 7 sprints demi-journée · Scope 56 SP → 70 SP (3 perturbations)</t>
  </si>
  <si>
    <t xml:space="preserve">Sprint</t>
  </si>
  <si>
    <t xml:space="preserve">Périmètre total</t>
  </si>
  <si>
    <t xml:space="preserve">Réalisé (cumulé)</t>
  </si>
  <si>
    <t xml:space="preserve">Événement (perturbation, ajout de périmètre…)</t>
  </si>
  <si>
    <t xml:space="preserve">S0 — Cadrage</t>
  </si>
  <si>
    <t xml:space="preserve">Départ · 7 artefacts cadrage livrés · scope initial 56 SP</t>
  </si>
  <si>
    <t xml:space="preserve">S1 — Lundi PM</t>
  </si>
  <si>
    <t xml:space="preserve">US-01 (8 SP) + US-02 (5 SP) livrées</t>
  </si>
  <si>
    <t xml:space="preserve">S2 — Mardi M</t>
  </si>
  <si>
    <t xml:space="preserve">⚡ J2 +4 SP (ADR-0003) · US-03 (8 SP) + migration LLM livrés</t>
  </si>
  <si>
    <t xml:space="preserve">S3 — Mardi PM</t>
  </si>
  <si>
    <t xml:space="preserve">US-04 (5 SP) + US-05 (4 SP) livrées</t>
  </si>
  <si>
    <t xml:space="preserve">S4 — Mer M</t>
  </si>
  <si>
    <t xml:space="preserve">⚡ J3 +6 SP (sécurité) · US-06 (5 SP) + patch livrés</t>
  </si>
  <si>
    <t xml:space="preserve">S5 — Mer PM</t>
  </si>
  <si>
    <t xml:space="preserve">⚡ J3-bis +4 SP (RGPD) · MVP F1-F6 livré 🚀 Release 1</t>
  </si>
  <si>
    <t xml:space="preserve">S6 — Jeudi M</t>
  </si>
  <si>
    <t xml:space="preserve">⚡ J4 RGAA · audit accessibilité · matrice risques</t>
  </si>
  <si>
    <t xml:space="preserve">S7 — Jeudi PM</t>
  </si>
  <si>
    <t xml:space="preserve">Finalisation R2 (6 SP) · Post-mortem 🚀 Release 2</t>
  </si>
  <si>
    <t xml:space="preserve">Indicateurs de pilotage</t>
  </si>
  <si>
    <t xml:space="preserve">Sprints réalisés</t>
  </si>
  <si>
    <t xml:space="preserve">Vélocité moyenne (pts/sprint)</t>
  </si>
  <si>
    <t xml:space="preserve">Périmètre total actuel</t>
  </si>
  <si>
    <t xml:space="preserve">Réalisé actuel</t>
  </si>
  <si>
    <t xml:space="preserve">Reste à réaliser</t>
  </si>
  <si>
    <t xml:space="preserve">Sprints restants (estimation)</t>
  </si>
  <si>
    <t xml:space="preserve">Astuce : les indicateurs pointent sur la dernière ligne (S7 · ligne 12). Cellules JAUNES = à remplir en temps réel.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</si>
</sst>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B4B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2"/>
      <color rgb="FF4F46E5"/>
      <name val="Cambria"/>
      <family val="0"/>
      <charset val="1"/>
    </font>
    <font>
      <sz val="10.5"/>
      <name val="Cambria"/>
      <family val="0"/>
      <charset val="1"/>
    </font>
    <font>
      <i val="true"/>
      <sz val="9"/>
      <color rgb="FF94A3B8"/>
      <name val="Cambria"/>
      <family val="0"/>
      <charset val="1"/>
    </font>
    <font>
      <b val="true"/>
      <sz val="11"/>
      <name val="Inter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64748B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Inter"/>
      <family val="0"/>
      <charset val="1"/>
    </font>
    <font>
      <sz val="10"/>
      <color rgb="FF64748B"/>
      <name val="Inte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EF9C3"/>
        <bgColor rgb="FFFFFF99"/>
      </patternFill>
    </fill>
    <fill>
      <patternFill patternType="solid">
        <fgColor rgb="FF4F46E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993366"/>
      <rgbColor rgb="FFFEF9C3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— reste à faire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(sprint)'!B8</c:f>
              <c:strCache>
                <c:ptCount val="1"/>
                <c:pt idx="0">
                  <c:v>Idéal</c:v>
                </c:pt>
              </c:strCache>
            </c:strRef>
          </c:tx>
          <c:spPr>
            <a:solidFill>
              <a:srgbClr val="94a3b8"/>
            </a:solidFill>
            <a:ln w="19080">
              <a:solidFill>
                <a:srgbClr val="94a3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(sprint)'!$A$9:$A$19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'Burndown (sprint)'!$B$9:$B$19</c:f>
              <c:numCache>
                <c:formatCode>General</c:formatCode>
                <c:ptCount val="11"/>
                <c:pt idx="0">
                  <c:v>70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(sprint)'!C8</c:f>
              <c:strCache>
                <c:ptCount val="1"/>
                <c:pt idx="0">
                  <c:v>Réel (reste à faire)</c:v>
                </c:pt>
              </c:strCache>
            </c:strRef>
          </c:tx>
          <c:spPr>
            <a:solidFill>
              <a:srgbClr val="4f46e5"/>
            </a:solidFill>
            <a:ln w="28440">
              <a:solidFill>
                <a:srgbClr val="4f46e5"/>
              </a:solidFill>
              <a:round/>
            </a:ln>
          </c:spPr>
          <c:marker>
            <c:symbol val="circle"/>
            <c:size val="6"/>
            <c:spPr>
              <a:solidFill>
                <a:srgbClr val="4f46e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(sprint)'!$A$9:$A$19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'Burndown (sprint)'!$C$9:$C$19</c:f>
              <c:numCache>
                <c:formatCode>General</c:formatCode>
                <c:ptCount val="11"/>
                <c:pt idx="0">
                  <c:v>70</c:v>
                </c:pt>
                <c:pt idx="1">
                  <c:v>57</c:v>
                </c:pt>
                <c:pt idx="2">
                  <c:v>45</c:v>
                </c:pt>
                <c:pt idx="3">
                  <c:v>36</c:v>
                </c:pt>
                <c:pt idx="4">
                  <c:v>25</c:v>
                </c:pt>
                <c:pt idx="5">
                  <c:v>14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553778"/>
        <c:axId val="6340034"/>
      </c:lineChart>
      <c:catAx>
        <c:axId val="16553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Jour du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0034"/>
        <c:crosses val="autoZero"/>
        <c:auto val="1"/>
        <c:lblAlgn val="ctr"/>
        <c:lblOffset val="100"/>
        <c:noMultiLvlLbl val="0"/>
      </c:catAx>
      <c:valAx>
        <c:axId val="6340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Reste à faire (pts)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377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Burnup — périmètre vs réalisé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'Burnup (projet)'!B4</c:f>
              <c:strCache>
                <c:ptCount val="1"/>
                <c:pt idx="0">
                  <c:v>Périmètre total</c:v>
                </c:pt>
              </c:strCache>
            </c:strRef>
          </c:tx>
          <c:spPr>
            <a:solidFill>
              <a:srgbClr val="dc2626"/>
            </a:solidFill>
            <a:ln w="28440">
              <a:solidFill>
                <a:srgbClr val="dc2626"/>
              </a:solidFill>
              <a:round/>
            </a:ln>
          </c:spPr>
          <c:marker>
            <c:symbol val="circle"/>
            <c:size val="6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(projet)'!$A$5:$A$11</c:f>
              <c:strCache>
                <c:ptCount val="7"/>
                <c:pt idx="0">
                  <c:v>S0 — Cadrage</c:v>
                </c:pt>
                <c:pt idx="1">
                  <c:v>S1 — Lundi PM</c:v>
                </c:pt>
                <c:pt idx="2">
                  <c:v>S2 — Mardi M</c:v>
                </c:pt>
                <c:pt idx="3">
                  <c:v>S3 — Mardi PM</c:v>
                </c:pt>
                <c:pt idx="4">
                  <c:v>S4 — Mer M</c:v>
                </c:pt>
                <c:pt idx="5">
                  <c:v>S5 — Mer PM</c:v>
                </c:pt>
                <c:pt idx="6">
                  <c:v>S6 — Jeudi M</c:v>
                </c:pt>
              </c:strCache>
            </c:strRef>
          </c:cat>
          <c:val>
            <c:numRef>
              <c:f>'Burnup (projet)'!$B$5:$B$11</c:f>
              <c:numCache>
                <c:formatCode>General</c:formatCode>
                <c:ptCount val="7"/>
                <c:pt idx="0">
                  <c:v>56</c:v>
                </c:pt>
                <c:pt idx="1">
                  <c:v>56</c:v>
                </c:pt>
                <c:pt idx="2">
                  <c:v>60</c:v>
                </c:pt>
                <c:pt idx="3">
                  <c:v>60</c:v>
                </c:pt>
                <c:pt idx="4">
                  <c:v>66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'Burnup (projet)'!C4</c:f>
              <c:strCache>
                <c:ptCount val="1"/>
                <c:pt idx="0">
                  <c:v>Réalisé (cumulé)</c:v>
                </c:pt>
              </c:strCache>
            </c:strRef>
          </c:tx>
          <c:spPr>
            <a:solidFill>
              <a:srgbClr val="0f766e"/>
            </a:solidFill>
            <a:ln w="28440">
              <a:solidFill>
                <a:srgbClr val="0f766e"/>
              </a:solidFill>
              <a:round/>
            </a:ln>
          </c:spPr>
          <c:marker>
            <c:symbol val="circle"/>
            <c:size val="6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(projet)'!$A$5:$A$11</c:f>
              <c:strCache>
                <c:ptCount val="7"/>
                <c:pt idx="0">
                  <c:v>S0 — Cadrage</c:v>
                </c:pt>
                <c:pt idx="1">
                  <c:v>S1 — Lundi PM</c:v>
                </c:pt>
                <c:pt idx="2">
                  <c:v>S2 — Mardi M</c:v>
                </c:pt>
                <c:pt idx="3">
                  <c:v>S3 — Mardi PM</c:v>
                </c:pt>
                <c:pt idx="4">
                  <c:v>S4 — Mer M</c:v>
                </c:pt>
                <c:pt idx="5">
                  <c:v>S5 — Mer PM</c:v>
                </c:pt>
                <c:pt idx="6">
                  <c:v>S6 — Jeudi M</c:v>
                </c:pt>
              </c:strCache>
            </c:strRef>
          </c:cat>
          <c:val>
            <c:numRef>
              <c:f>'Burnup (projet)'!$C$5:$C$11</c:f>
              <c:numCache>
                <c:formatCode>General</c:formatCode>
                <c:ptCount val="7"/>
                <c:pt idx="0">
                  <c:v>0</c:v>
                </c:pt>
                <c:pt idx="1">
                  <c:v>13</c:v>
                </c:pt>
                <c:pt idx="2">
                  <c:v>25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525528"/>
        <c:axId val="62836181"/>
      </c:lineChart>
      <c:catAx>
        <c:axId val="88525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36181"/>
        <c:crosses val="autoZero"/>
        <c:auto val="1"/>
        <c:lblAlgn val="ctr"/>
        <c:lblOffset val="100"/>
        <c:noMultiLvlLbl val="0"/>
      </c:catAx>
      <c:valAx>
        <c:axId val="62836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de story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2552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13</xdr:col>
      <xdr:colOff>21600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303084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21600</xdr:colOff>
      <xdr:row>16</xdr:row>
      <xdr:rowOff>16920</xdr:rowOff>
    </xdr:to>
    <xdr:graphicFrame>
      <xdr:nvGraphicFramePr>
        <xdr:cNvPr id="1" name="Chart 1"/>
        <xdr:cNvGraphicFramePr/>
      </xdr:nvGraphicFramePr>
      <xdr:xfrm>
        <a:off x="627300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26.85" hidden="false" customHeight="false" outlineLevel="0" collapsed="false">
      <c r="B10" s="4" t="s">
        <v>6</v>
      </c>
    </row>
    <row r="11" customFormat="false" ht="26.8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26.8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26.85" hidden="false" customHeight="false" outlineLevel="0" collapsed="false">
      <c r="B16" s="4" t="s">
        <v>11</v>
      </c>
    </row>
    <row r="17" customFormat="false" ht="26.85" hidden="false" customHeight="fals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26.85" hidden="false" customHeight="false" outlineLevel="0" collapsed="false">
      <c r="B20" s="4" t="s">
        <v>14</v>
      </c>
    </row>
    <row r="22" customFormat="false" ht="15" hidden="false" customHeight="false" outlineLevel="0" collapsed="false">
      <c r="B22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18</v>
      </c>
    </row>
    <row r="5" customFormat="false" ht="15" hidden="false" customHeight="false" outlineLevel="0" collapsed="false">
      <c r="A5" s="0" t="s">
        <v>19</v>
      </c>
      <c r="B5" s="6" t="n">
        <v>70</v>
      </c>
    </row>
    <row r="6" customFormat="false" ht="15" hidden="false" customHeight="false" outlineLevel="0" collapsed="false">
      <c r="A6" s="0" t="s">
        <v>20</v>
      </c>
      <c r="B6" s="6" t="n">
        <v>7</v>
      </c>
    </row>
    <row r="8" customFormat="false" ht="15" hidden="false" customHeight="false" outlineLevel="0" collapsed="false">
      <c r="A8" s="7" t="s">
        <v>21</v>
      </c>
      <c r="B8" s="7" t="s">
        <v>22</v>
      </c>
      <c r="C8" s="7" t="s">
        <v>23</v>
      </c>
    </row>
    <row r="9" customFormat="false" ht="15" hidden="false" customHeight="false" outlineLevel="0" collapsed="false">
      <c r="A9" s="8" t="n">
        <v>0</v>
      </c>
      <c r="B9" s="9" t="n">
        <f aca="false">ROUND($B$5*($B$6-A9)/$B$6,1)</f>
        <v>70</v>
      </c>
      <c r="C9" s="6" t="n">
        <v>70</v>
      </c>
    </row>
    <row r="10" customFormat="false" ht="15" hidden="false" customHeight="false" outlineLevel="0" collapsed="false">
      <c r="A10" s="8" t="n">
        <v>1</v>
      </c>
      <c r="B10" s="9" t="n">
        <f aca="false">ROUND($B$5*($B$6-A10)/$B$6,1)</f>
        <v>60</v>
      </c>
      <c r="C10" s="6" t="n">
        <v>57</v>
      </c>
    </row>
    <row r="11" customFormat="false" ht="15" hidden="false" customHeight="false" outlineLevel="0" collapsed="false">
      <c r="A11" s="8" t="n">
        <v>2</v>
      </c>
      <c r="B11" s="9" t="n">
        <f aca="false">ROUND($B$5*($B$6-A11)/$B$6,1)</f>
        <v>50</v>
      </c>
      <c r="C11" s="6" t="n">
        <v>45</v>
      </c>
    </row>
    <row r="12" customFormat="false" ht="15" hidden="false" customHeight="false" outlineLevel="0" collapsed="false">
      <c r="A12" s="8" t="n">
        <v>3</v>
      </c>
      <c r="B12" s="9" t="n">
        <f aca="false">ROUND($B$5*($B$6-A12)/$B$6,1)</f>
        <v>40</v>
      </c>
      <c r="C12" s="6" t="n">
        <v>36</v>
      </c>
    </row>
    <row r="13" customFormat="false" ht="15" hidden="false" customHeight="false" outlineLevel="0" collapsed="false">
      <c r="A13" s="8" t="n">
        <v>4</v>
      </c>
      <c r="B13" s="9" t="n">
        <f aca="false">ROUND($B$5*($B$6-A13)/$B$6,1)</f>
        <v>30</v>
      </c>
      <c r="C13" s="6" t="n">
        <v>25</v>
      </c>
    </row>
    <row r="14" customFormat="false" ht="15" hidden="false" customHeight="false" outlineLevel="0" collapsed="false">
      <c r="A14" s="8" t="n">
        <v>5</v>
      </c>
      <c r="B14" s="9" t="n">
        <f aca="false">ROUND($B$5*($B$6-A14)/$B$6,1)</f>
        <v>20</v>
      </c>
      <c r="C14" s="6" t="n">
        <v>14</v>
      </c>
    </row>
    <row r="15" customFormat="false" ht="15" hidden="false" customHeight="false" outlineLevel="0" collapsed="false">
      <c r="A15" s="8" t="n">
        <v>6</v>
      </c>
      <c r="B15" s="9" t="n">
        <f aca="false">ROUND($B$5*($B$6-A15)/$B$6,1)</f>
        <v>10</v>
      </c>
      <c r="C15" s="6" t="n">
        <v>8</v>
      </c>
    </row>
    <row r="16" customFormat="false" ht="15" hidden="false" customHeight="false" outlineLevel="0" collapsed="false">
      <c r="A16" s="8" t="n">
        <v>7</v>
      </c>
      <c r="B16" s="9" t="n">
        <f aca="false">ROUND($B$5*($B$6-A16)/$B$6,1)</f>
        <v>0</v>
      </c>
      <c r="C16" s="6" t="n">
        <v>2</v>
      </c>
    </row>
    <row r="17" customFormat="false" ht="15" hidden="false" customHeight="false" outlineLevel="0" collapsed="false">
      <c r="A17" s="8"/>
      <c r="B17" s="9"/>
      <c r="C17" s="10"/>
    </row>
    <row r="18" customFormat="false" ht="15" hidden="false" customHeight="false" outlineLevel="0" collapsed="false">
      <c r="A18" s="8"/>
      <c r="B18" s="9"/>
      <c r="C18" s="10"/>
    </row>
    <row r="19" customFormat="false" ht="15" hidden="false" customHeight="false" outlineLevel="0" collapsed="false">
      <c r="A19" s="8"/>
      <c r="B19" s="9"/>
      <c r="C19" s="10"/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11" t="s">
        <v>25</v>
      </c>
      <c r="B22" s="8" t="n">
        <f aca="false">C16</f>
        <v>2</v>
      </c>
    </row>
    <row r="23" customFormat="false" ht="15" hidden="false" customHeight="false" outlineLevel="0" collapsed="false">
      <c r="A23" s="11" t="s">
        <v>26</v>
      </c>
      <c r="B23" s="8" t="n">
        <f aca="false">B5-C16</f>
        <v>68</v>
      </c>
    </row>
    <row r="24" customFormat="false" ht="15" hidden="false" customHeight="false" outlineLevel="0" collapsed="false">
      <c r="A24" s="11" t="s">
        <v>27</v>
      </c>
      <c r="B24" s="8" t="n">
        <f aca="false">B16</f>
        <v>0</v>
      </c>
    </row>
    <row r="25" customFormat="false" ht="15" hidden="false" customHeight="false" outlineLevel="0" collapsed="false">
      <c r="A25" s="11" t="s">
        <v>28</v>
      </c>
      <c r="B25" s="12" t="n">
        <f aca="false">(B5-C16)/B5</f>
        <v>0.971428571428571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8.3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</row>
    <row r="5" customFormat="false" ht="23.85" hidden="false" customHeight="false" outlineLevel="0" collapsed="false">
      <c r="A5" s="13" t="s">
        <v>35</v>
      </c>
      <c r="B5" s="6" t="n">
        <v>56</v>
      </c>
      <c r="C5" s="6" t="n">
        <v>0</v>
      </c>
      <c r="D5" s="14" t="s">
        <v>36</v>
      </c>
    </row>
    <row r="6" customFormat="false" ht="15" hidden="false" customHeight="false" outlineLevel="0" collapsed="false">
      <c r="A6" s="13" t="s">
        <v>37</v>
      </c>
      <c r="B6" s="6" t="n">
        <v>56</v>
      </c>
      <c r="C6" s="6" t="n">
        <v>13</v>
      </c>
      <c r="D6" s="14" t="s">
        <v>38</v>
      </c>
    </row>
    <row r="7" customFormat="false" ht="23.85" hidden="false" customHeight="false" outlineLevel="0" collapsed="false">
      <c r="A7" s="13" t="s">
        <v>39</v>
      </c>
      <c r="B7" s="6" t="n">
        <v>60</v>
      </c>
      <c r="C7" s="6" t="n">
        <v>25</v>
      </c>
      <c r="D7" s="14" t="s">
        <v>40</v>
      </c>
    </row>
    <row r="8" customFormat="false" ht="15" hidden="false" customHeight="false" outlineLevel="0" collapsed="false">
      <c r="A8" s="13" t="s">
        <v>41</v>
      </c>
      <c r="B8" s="6" t="n">
        <v>60</v>
      </c>
      <c r="C8" s="6" t="n">
        <v>34</v>
      </c>
      <c r="D8" s="14" t="s">
        <v>42</v>
      </c>
    </row>
    <row r="9" customFormat="false" ht="15" hidden="false" customHeight="false" outlineLevel="0" collapsed="false">
      <c r="A9" s="13" t="s">
        <v>43</v>
      </c>
      <c r="B9" s="6" t="n">
        <v>66</v>
      </c>
      <c r="C9" s="6" t="n">
        <v>45</v>
      </c>
      <c r="D9" s="14" t="s">
        <v>44</v>
      </c>
    </row>
    <row r="10" customFormat="false" ht="23.85" hidden="false" customHeight="false" outlineLevel="0" collapsed="false">
      <c r="A10" s="13" t="s">
        <v>45</v>
      </c>
      <c r="B10" s="6" t="n">
        <v>70</v>
      </c>
      <c r="C10" s="6" t="n">
        <v>56</v>
      </c>
      <c r="D10" s="14" t="s">
        <v>46</v>
      </c>
    </row>
    <row r="11" customFormat="false" ht="15" hidden="false" customHeight="false" outlineLevel="0" collapsed="false">
      <c r="A11" s="13" t="s">
        <v>47</v>
      </c>
      <c r="B11" s="6" t="n">
        <v>70</v>
      </c>
      <c r="C11" s="6" t="n">
        <v>64</v>
      </c>
      <c r="D11" s="14" t="s">
        <v>48</v>
      </c>
    </row>
    <row r="12" customFormat="false" ht="15" hidden="false" customHeight="false" outlineLevel="0" collapsed="false">
      <c r="A12" s="15" t="s">
        <v>49</v>
      </c>
      <c r="B12" s="16" t="n">
        <v>70</v>
      </c>
      <c r="C12" s="16" t="n">
        <v>70</v>
      </c>
      <c r="D12" s="17" t="s">
        <v>50</v>
      </c>
    </row>
    <row r="13" customFormat="false" ht="15" hidden="false" customHeight="false" outlineLevel="0" collapsed="false">
      <c r="A13" s="3" t="s">
        <v>51</v>
      </c>
    </row>
    <row r="14" customFormat="false" ht="15" hidden="false" customHeight="false" outlineLevel="0" collapsed="false">
      <c r="A14" s="11" t="s">
        <v>52</v>
      </c>
      <c r="B14" s="8" t="n">
        <f aca="false">COUNTA(A5:A12)-1</f>
        <v>7</v>
      </c>
    </row>
    <row r="15" customFormat="false" ht="15" hidden="false" customHeight="false" outlineLevel="0" collapsed="false">
      <c r="A15" s="11" t="s">
        <v>53</v>
      </c>
      <c r="B15" s="8" t="n">
        <f aca="false">ROUND(C12/(COUNTA(A5:A12)-1),1)</f>
        <v>10</v>
      </c>
    </row>
    <row r="16" customFormat="false" ht="15" hidden="false" customHeight="false" outlineLevel="0" collapsed="false">
      <c r="A16" s="11" t="s">
        <v>54</v>
      </c>
      <c r="B16" s="8" t="n">
        <f aca="false">B12</f>
        <v>70</v>
      </c>
    </row>
    <row r="17" customFormat="false" ht="15" hidden="false" customHeight="false" outlineLevel="0" collapsed="false">
      <c r="A17" s="11" t="s">
        <v>55</v>
      </c>
      <c r="B17" s="8" t="n">
        <f aca="false">C12</f>
        <v>70</v>
      </c>
    </row>
    <row r="18" customFormat="false" ht="15" hidden="false" customHeight="false" outlineLevel="0" collapsed="false">
      <c r="A18" s="11" t="s">
        <v>56</v>
      </c>
      <c r="B18" s="8" t="n">
        <f aca="false">B12-C12</f>
        <v>0</v>
      </c>
    </row>
    <row r="19" customFormat="false" ht="15" hidden="false" customHeight="false" outlineLevel="0" collapsed="false">
      <c r="A19" s="11" t="s">
        <v>57</v>
      </c>
      <c r="B19" s="8" t="n">
        <f aca="false">ROUND((B12-C12)/(C12/(COUNTA(A5:A12)-1)),1)</f>
        <v>0</v>
      </c>
    </row>
    <row r="21" customFormat="false" ht="15" hidden="false" customHeight="false" outlineLevel="0" collapsed="false">
      <c r="A21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2026-07-02T07:53:38Z</dcterms:created>
  <dc:creator>openpyxl</dc:creator>
  <dc:description/>
  <dc:language>en-US</dc:language>
  <cp:lastModifiedBy/>
  <dcterms:modified xsi:type="dcterms:W3CDTF">2026-07-02T15:30:01Z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